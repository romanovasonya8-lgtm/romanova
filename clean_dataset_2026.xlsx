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9TpT1+6yK7UldfW06vP48UnApn0Ph1S0qHHBEX+I2I="/>
    </ext>
  </extLst>
</workbook>
</file>

<file path=xl/sharedStrings.xml><?xml version="1.0" encoding="utf-8"?>
<sst xmlns="http://schemas.openxmlformats.org/spreadsheetml/2006/main" count="174" uniqueCount="77">
  <si>
    <t>transaction_id</t>
  </si>
  <si>
    <t>date</t>
  </si>
  <si>
    <t>product</t>
  </si>
  <si>
    <t>category</t>
  </si>
  <si>
    <t>quantity</t>
  </si>
  <si>
    <t>price</t>
  </si>
  <si>
    <t>shop</t>
  </si>
  <si>
    <t>manager</t>
  </si>
  <si>
    <t>Месяц</t>
  </si>
  <si>
    <t>Выручка по транзакции</t>
  </si>
  <si>
    <t>месяц</t>
  </si>
  <si>
    <t>Месячная выручка</t>
  </si>
  <si>
    <t>ср.значение</t>
  </si>
  <si>
    <t>TXN-0001</t>
  </si>
  <si>
    <t>Утюг Philips</t>
  </si>
  <si>
    <t>Утюги</t>
  </si>
  <si>
    <t>Яндекс.Маркет</t>
  </si>
  <si>
    <t>Иванов И.И.</t>
  </si>
  <si>
    <t>за июнь</t>
  </si>
  <si>
    <t>TXN-0002</t>
  </si>
  <si>
    <t>Микроволновая печь Midea</t>
  </si>
  <si>
    <t>Микроволновые печи</t>
  </si>
  <si>
    <t>Эльдорадо</t>
  </si>
  <si>
    <t>Смирнова Е.В.</t>
  </si>
  <si>
    <t>за июль</t>
  </si>
  <si>
    <t>TXN-0008</t>
  </si>
  <si>
    <t>за август</t>
  </si>
  <si>
    <t>TXN-0012</t>
  </si>
  <si>
    <t>Сидоров В.К.</t>
  </si>
  <si>
    <t>TXN-0030</t>
  </si>
  <si>
    <t>Чайник Kitfort</t>
  </si>
  <si>
    <t>Холодильники</t>
  </si>
  <si>
    <t>за сентябрь</t>
  </si>
  <si>
    <t>TXN-0039</t>
  </si>
  <si>
    <t>ДНС</t>
  </si>
  <si>
    <t>за октябрь</t>
  </si>
  <si>
    <t>TXN-0040</t>
  </si>
  <si>
    <t>Пылесос Dyson</t>
  </si>
  <si>
    <t>Пылесосы</t>
  </si>
  <si>
    <t>Лето</t>
  </si>
  <si>
    <t>за ноябрь</t>
  </si>
  <si>
    <t>TXN-0044</t>
  </si>
  <si>
    <t>TXN-0045</t>
  </si>
  <si>
    <t>Февраль</t>
  </si>
  <si>
    <t>сумма выручки за осень</t>
  </si>
  <si>
    <t>TXN-0047</t>
  </si>
  <si>
    <t>Холодильник LG</t>
  </si>
  <si>
    <t>Б</t>
  </si>
  <si>
    <t>TXN0051</t>
  </si>
  <si>
    <t>TXN-0053</t>
  </si>
  <si>
    <t>Стиральная машина Bosch</t>
  </si>
  <si>
    <t>Стиральные машины</t>
  </si>
  <si>
    <t>Петрова А.С.</t>
  </si>
  <si>
    <t>TXN-0075</t>
  </si>
  <si>
    <t>TXN-0077</t>
  </si>
  <si>
    <t>Ситилинк</t>
  </si>
  <si>
    <t>за год</t>
  </si>
  <si>
    <t>TXN-0083</t>
  </si>
  <si>
    <t>Телевизор Samsung</t>
  </si>
  <si>
    <t>Телевизоры</t>
  </si>
  <si>
    <t>TXN-0096</t>
  </si>
  <si>
    <t>TXN-0097</t>
  </si>
  <si>
    <t>М.Видео</t>
  </si>
  <si>
    <t>TXN-0100</t>
  </si>
  <si>
    <t>TXN-0101</t>
  </si>
  <si>
    <t>TXN-0102</t>
  </si>
  <si>
    <t xml:space="preserve">Пылесос Dyson </t>
  </si>
  <si>
    <t>TXN-0104</t>
  </si>
  <si>
    <t>TXN-0107</t>
  </si>
  <si>
    <t>TXN-0108</t>
  </si>
  <si>
    <t>TXN-0116</t>
  </si>
  <si>
    <t>TXN-0117</t>
  </si>
  <si>
    <t>TXN-0122</t>
  </si>
  <si>
    <t>TXN-0151</t>
  </si>
  <si>
    <t>TXN-0169</t>
  </si>
  <si>
    <t>TXN-0170</t>
  </si>
  <si>
    <t>TXN-0200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</si>
</sst>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  <xf borderId="0" fillId="0" fontId="3" numFmtId="0" xfId="0" applyAlignment="1" applyFont="1">
      <alignment readingOrder="0"/>
    </xf>
    <xf borderId="0" fillId="0" fontId="4" numFmtId="1" xfId="0" applyFont="1" applyNumberFormat="1"/>
    <xf borderId="0" fillId="0" fontId="4" numFmtId="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4" numFmtId="2" xfId="0" applyFont="1" applyNumberFormat="1"/>
    <xf borderId="0" fillId="0" fontId="4" numFmtId="1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Месячная выручка и ср.значение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Sheet1!$M$1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Sheet1!$L$2:$L$13</c:f>
            </c:strRef>
          </c:cat>
          <c:val>
            <c:numRef>
              <c:f>Sheet1!$M$2:$M$13</c:f>
              <c:numCache/>
            </c:numRef>
          </c:val>
          <c:smooth val="0"/>
        </c:ser>
        <c:ser>
          <c:idx val="1"/>
          <c:order val="1"/>
          <c:tx>
            <c:strRef>
              <c:f>Sheet1!$N$1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Sheet1!$L$2:$L$13</c:f>
            </c:strRef>
          </c:cat>
          <c:val>
            <c:numRef>
              <c:f>Sheet1!$N$2:$N$13</c:f>
              <c:numCache/>
            </c:numRef>
          </c:val>
          <c:smooth val="0"/>
        </c:ser>
        <c:axId val="603182945"/>
        <c:axId val="738278572"/>
      </c:lineChart>
      <c:catAx>
        <c:axId val="603182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278572"/>
      </c:catAx>
      <c:valAx>
        <c:axId val="738278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182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609600</xdr:colOff>
      <xdr:row>17</xdr:row>
      <xdr:rowOff>104775</xdr:rowOff>
    </xdr:from>
    <xdr:ext cx="5715000" cy="3533775"/>
    <xdr:graphicFrame>
      <xdr:nvGraphicFramePr>
        <xdr:cNvPr id="16986918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8.14"/>
    <col customWidth="1" min="3" max="3" width="26.0"/>
    <col customWidth="1" min="4" max="4" width="23.29"/>
    <col customWidth="1" min="5" max="5" width="8.71"/>
    <col customWidth="1" min="6" max="6" width="22.0"/>
    <col customWidth="1" min="7" max="7" width="14.14"/>
    <col customWidth="1" min="8" max="8" width="13.86"/>
    <col customWidth="1" min="9" max="9" width="20.0"/>
    <col customWidth="1" min="10" max="10" width="22.0"/>
    <col customWidth="1" min="11" max="11" width="9.43"/>
    <col customWidth="1" min="12" max="12" width="8.71"/>
    <col customWidth="1" min="13" max="13" width="19.86"/>
    <col customWidth="1" min="14" max="14" width="12.0"/>
    <col customWidth="1" min="15" max="15" width="8.71"/>
    <col customWidth="1" min="16" max="16" width="31.0"/>
    <col customWidth="1" min="17" max="17" width="10.57"/>
    <col customWidth="1" min="18" max="18" width="8.71"/>
    <col customWidth="1" min="19" max="19" width="24.86"/>
    <col customWidth="1" min="20" max="20" width="30.71"/>
    <col customWidth="1" min="21" max="21" width="31.0"/>
    <col customWidth="1" min="2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L1" s="3" t="s">
        <v>10</v>
      </c>
      <c r="M1" s="3" t="s">
        <v>11</v>
      </c>
      <c r="N1" s="3" t="s">
        <v>12</v>
      </c>
    </row>
    <row r="2">
      <c r="A2" s="4" t="s">
        <v>13</v>
      </c>
      <c r="B2" s="5">
        <v>46355.0</v>
      </c>
      <c r="C2" s="4" t="s">
        <v>14</v>
      </c>
      <c r="D2" s="6" t="s">
        <v>15</v>
      </c>
      <c r="E2" s="7">
        <v>2.0</v>
      </c>
      <c r="F2" s="8">
        <v>897270.0</v>
      </c>
      <c r="G2" s="4" t="s">
        <v>16</v>
      </c>
      <c r="H2" s="4" t="s">
        <v>17</v>
      </c>
      <c r="I2" s="9">
        <f t="shared" ref="I2:I31" si="1">MONTH(B2)</f>
        <v>11</v>
      </c>
      <c r="J2" s="9">
        <f t="shared" ref="J2:J31" si="2">E2*F2</f>
        <v>1794540</v>
      </c>
      <c r="L2" s="3">
        <v>1.0</v>
      </c>
      <c r="M2" s="9">
        <f t="shared" ref="M2:M13" si="3">SUMIF($I$2:$I$31,L2,$J$2:$J$31)</f>
        <v>413985</v>
      </c>
      <c r="N2" s="9">
        <f t="shared" ref="N2:N13" si="4">AVERAGE($M$15/12)</f>
        <v>646640</v>
      </c>
      <c r="P2" s="10">
        <v>46060.0</v>
      </c>
      <c r="Q2" s="9">
        <f>SUM(T2:T4)</f>
        <v>1165236</v>
      </c>
      <c r="S2" s="3" t="s">
        <v>18</v>
      </c>
      <c r="T2" s="9">
        <f>SUMIF($I$2:$I$31,6,$J$2:$J$31)</f>
        <v>598556</v>
      </c>
    </row>
    <row r="3">
      <c r="A3" s="4" t="s">
        <v>19</v>
      </c>
      <c r="B3" s="5">
        <v>46135.0</v>
      </c>
      <c r="C3" s="4" t="s">
        <v>20</v>
      </c>
      <c r="D3" s="6" t="s">
        <v>21</v>
      </c>
      <c r="E3" s="7">
        <v>3.0</v>
      </c>
      <c r="F3" s="8">
        <v>87873.0</v>
      </c>
      <c r="G3" s="4" t="s">
        <v>22</v>
      </c>
      <c r="H3" s="4" t="s">
        <v>23</v>
      </c>
      <c r="I3" s="9">
        <f t="shared" si="1"/>
        <v>4</v>
      </c>
      <c r="J3" s="9">
        <f t="shared" si="2"/>
        <v>263619</v>
      </c>
      <c r="L3" s="3">
        <v>2.0</v>
      </c>
      <c r="M3" s="9">
        <f t="shared" si="3"/>
        <v>1278414</v>
      </c>
      <c r="N3" s="9">
        <f t="shared" si="4"/>
        <v>646640</v>
      </c>
      <c r="P3" s="10">
        <v>46088.0</v>
      </c>
      <c r="Q3" s="11">
        <f>AVERAGE(J2:J31)</f>
        <v>258656</v>
      </c>
      <c r="S3" s="3" t="s">
        <v>24</v>
      </c>
      <c r="T3" s="9">
        <f>SUMIF($I$2:$I$31,7,$J$2:$J$31)</f>
        <v>234172</v>
      </c>
    </row>
    <row r="4">
      <c r="A4" s="4" t="s">
        <v>25</v>
      </c>
      <c r="B4" s="5">
        <v>46070.0</v>
      </c>
      <c r="C4" s="4" t="s">
        <v>14</v>
      </c>
      <c r="D4" s="6" t="s">
        <v>15</v>
      </c>
      <c r="E4" s="7">
        <v>2.0</v>
      </c>
      <c r="F4" s="8">
        <v>77004.0</v>
      </c>
      <c r="G4" s="4" t="s">
        <v>22</v>
      </c>
      <c r="H4" s="4" t="s">
        <v>17</v>
      </c>
      <c r="I4" s="9">
        <f t="shared" si="1"/>
        <v>2</v>
      </c>
      <c r="J4" s="9">
        <f t="shared" si="2"/>
        <v>154008</v>
      </c>
      <c r="K4" s="12"/>
      <c r="L4" s="3">
        <v>3.0</v>
      </c>
      <c r="M4" s="9">
        <f t="shared" si="3"/>
        <v>1208502</v>
      </c>
      <c r="N4" s="9">
        <f t="shared" si="4"/>
        <v>646640</v>
      </c>
      <c r="P4" s="10">
        <v>46119.0</v>
      </c>
      <c r="Q4" s="11">
        <f>AVERAGE($M$15/12)</f>
        <v>646640</v>
      </c>
      <c r="S4" s="3" t="s">
        <v>26</v>
      </c>
      <c r="T4" s="9">
        <f>SUMIF($I$2:$I$31,8,$J$2:$J$31)</f>
        <v>332508</v>
      </c>
    </row>
    <row r="5">
      <c r="A5" s="4" t="s">
        <v>27</v>
      </c>
      <c r="B5" s="5">
        <v>46045.0</v>
      </c>
      <c r="C5" s="4" t="s">
        <v>14</v>
      </c>
      <c r="D5" s="6" t="s">
        <v>15</v>
      </c>
      <c r="E5" s="13">
        <v>3.0</v>
      </c>
      <c r="F5" s="8">
        <v>137995.0</v>
      </c>
      <c r="G5" s="4" t="s">
        <v>16</v>
      </c>
      <c r="H5" s="4" t="s">
        <v>28</v>
      </c>
      <c r="I5" s="9">
        <f t="shared" si="1"/>
        <v>1</v>
      </c>
      <c r="J5" s="9">
        <f t="shared" si="2"/>
        <v>413985</v>
      </c>
      <c r="L5" s="3">
        <v>4.0</v>
      </c>
      <c r="M5" s="9">
        <f t="shared" si="3"/>
        <v>526072</v>
      </c>
      <c r="N5" s="9">
        <f t="shared" si="4"/>
        <v>646640</v>
      </c>
      <c r="P5" s="10">
        <v>46149.0</v>
      </c>
      <c r="Q5" s="14">
        <f>(T10/M15)*100%</f>
        <v>0.3401128655</v>
      </c>
    </row>
    <row r="6">
      <c r="A6" s="4" t="s">
        <v>29</v>
      </c>
      <c r="B6" s="5">
        <v>46106.0</v>
      </c>
      <c r="C6" s="4" t="s">
        <v>30</v>
      </c>
      <c r="D6" s="4" t="s">
        <v>31</v>
      </c>
      <c r="E6" s="7">
        <v>3.0</v>
      </c>
      <c r="F6" s="8">
        <v>129683.0</v>
      </c>
      <c r="G6" s="4" t="s">
        <v>22</v>
      </c>
      <c r="H6" s="4" t="s">
        <v>17</v>
      </c>
      <c r="I6" s="9">
        <f t="shared" si="1"/>
        <v>3</v>
      </c>
      <c r="J6" s="9">
        <f t="shared" si="2"/>
        <v>389049</v>
      </c>
      <c r="L6" s="3">
        <v>5.0</v>
      </c>
      <c r="M6" s="9">
        <f t="shared" si="3"/>
        <v>279840</v>
      </c>
      <c r="N6" s="9">
        <f t="shared" si="4"/>
        <v>646640</v>
      </c>
      <c r="P6" s="10">
        <v>46180.0</v>
      </c>
      <c r="Q6" s="9">
        <f>MIN(M8:M13)</f>
        <v>127949</v>
      </c>
      <c r="S6" s="3" t="s">
        <v>32</v>
      </c>
      <c r="T6" s="9">
        <f>SUMIF($I$2:$I$31,9,$J$2:$J$31)</f>
        <v>127949</v>
      </c>
    </row>
    <row r="7">
      <c r="A7" s="4" t="s">
        <v>33</v>
      </c>
      <c r="B7" s="5">
        <v>46131.0</v>
      </c>
      <c r="C7" s="4" t="s">
        <v>14</v>
      </c>
      <c r="D7" s="6" t="s">
        <v>15</v>
      </c>
      <c r="E7" s="7">
        <v>1.0</v>
      </c>
      <c r="F7" s="8">
        <v>50235.0</v>
      </c>
      <c r="G7" s="4" t="s">
        <v>34</v>
      </c>
      <c r="H7" s="4" t="s">
        <v>28</v>
      </c>
      <c r="I7" s="9">
        <f t="shared" si="1"/>
        <v>4</v>
      </c>
      <c r="J7" s="9">
        <f t="shared" si="2"/>
        <v>50235</v>
      </c>
      <c r="L7" s="3">
        <v>6.0</v>
      </c>
      <c r="M7" s="9">
        <f t="shared" si="3"/>
        <v>598556</v>
      </c>
      <c r="N7" s="9">
        <f t="shared" si="4"/>
        <v>646640</v>
      </c>
      <c r="P7" s="10">
        <v>46210.0</v>
      </c>
      <c r="Q7" s="3">
        <v>4.0</v>
      </c>
      <c r="S7" s="3" t="s">
        <v>35</v>
      </c>
      <c r="T7" s="9">
        <f>SUMIF($I$2:$I$31,10,$J$2:$J$31)</f>
        <v>716678</v>
      </c>
    </row>
    <row r="8">
      <c r="A8" s="4" t="s">
        <v>36</v>
      </c>
      <c r="B8" s="5">
        <v>46225.0</v>
      </c>
      <c r="C8" s="4" t="s">
        <v>37</v>
      </c>
      <c r="D8" s="6" t="s">
        <v>38</v>
      </c>
      <c r="E8" s="7">
        <v>2.0</v>
      </c>
      <c r="F8" s="8">
        <v>15260.0</v>
      </c>
      <c r="G8" s="4" t="s">
        <v>34</v>
      </c>
      <c r="H8" s="4" t="s">
        <v>28</v>
      </c>
      <c r="I8" s="9">
        <f t="shared" si="1"/>
        <v>7</v>
      </c>
      <c r="J8" s="9">
        <f t="shared" si="2"/>
        <v>30520</v>
      </c>
      <c r="L8" s="3">
        <v>7.0</v>
      </c>
      <c r="M8" s="9">
        <f t="shared" si="3"/>
        <v>234172</v>
      </c>
      <c r="N8" s="9">
        <f t="shared" si="4"/>
        <v>646640</v>
      </c>
      <c r="P8" s="10">
        <v>46241.0</v>
      </c>
      <c r="Q8" s="3" t="s">
        <v>39</v>
      </c>
      <c r="S8" s="3" t="s">
        <v>40</v>
      </c>
      <c r="T8" s="9">
        <f>SUMIF($I$2:$I$31,11,$J$2:$J$31)</f>
        <v>1794540</v>
      </c>
    </row>
    <row r="9">
      <c r="A9" s="4" t="s">
        <v>41</v>
      </c>
      <c r="B9" s="5">
        <v>46322.0</v>
      </c>
      <c r="C9" s="4" t="s">
        <v>14</v>
      </c>
      <c r="D9" s="6" t="s">
        <v>15</v>
      </c>
      <c r="E9" s="7">
        <v>2.0</v>
      </c>
      <c r="F9" s="8">
        <v>142381.0</v>
      </c>
      <c r="G9" s="4" t="s">
        <v>22</v>
      </c>
      <c r="H9" s="4" t="s">
        <v>28</v>
      </c>
      <c r="I9" s="9">
        <f t="shared" si="1"/>
        <v>10</v>
      </c>
      <c r="J9" s="9">
        <f t="shared" si="2"/>
        <v>284762</v>
      </c>
      <c r="L9" s="3">
        <v>8.0</v>
      </c>
      <c r="M9" s="9">
        <f t="shared" si="3"/>
        <v>332508</v>
      </c>
      <c r="N9" s="9">
        <f t="shared" si="4"/>
        <v>646640</v>
      </c>
      <c r="P9" s="10">
        <v>46272.0</v>
      </c>
      <c r="Q9" s="3">
        <v>8.0</v>
      </c>
    </row>
    <row r="10">
      <c r="A10" s="4" t="s">
        <v>42</v>
      </c>
      <c r="B10" s="5">
        <v>46321.0</v>
      </c>
      <c r="C10" s="4" t="s">
        <v>14</v>
      </c>
      <c r="D10" s="6" t="s">
        <v>15</v>
      </c>
      <c r="E10" s="7">
        <v>1.0</v>
      </c>
      <c r="F10" s="8">
        <v>142035.0</v>
      </c>
      <c r="G10" s="4" t="s">
        <v>34</v>
      </c>
      <c r="H10" s="6" t="s">
        <v>23</v>
      </c>
      <c r="I10" s="9">
        <f t="shared" si="1"/>
        <v>10</v>
      </c>
      <c r="J10" s="9">
        <f t="shared" si="2"/>
        <v>142035</v>
      </c>
      <c r="L10" s="3">
        <v>9.0</v>
      </c>
      <c r="M10" s="9">
        <f t="shared" si="3"/>
        <v>127949</v>
      </c>
      <c r="N10" s="9">
        <f t="shared" si="4"/>
        <v>646640</v>
      </c>
      <c r="P10" s="10">
        <v>46302.0</v>
      </c>
      <c r="Q10" s="3" t="s">
        <v>43</v>
      </c>
      <c r="S10" s="3" t="s">
        <v>44</v>
      </c>
      <c r="T10" s="9">
        <f>SUM(T6:T8)</f>
        <v>2639167</v>
      </c>
    </row>
    <row r="11">
      <c r="A11" s="4" t="s">
        <v>45</v>
      </c>
      <c r="B11" s="5">
        <v>46093.0</v>
      </c>
      <c r="C11" s="4" t="s">
        <v>46</v>
      </c>
      <c r="D11" s="4" t="s">
        <v>31</v>
      </c>
      <c r="E11" s="7">
        <v>1.0</v>
      </c>
      <c r="F11" s="8">
        <v>100393.0</v>
      </c>
      <c r="G11" s="4" t="s">
        <v>34</v>
      </c>
      <c r="H11" s="4" t="s">
        <v>17</v>
      </c>
      <c r="I11" s="9">
        <f t="shared" si="1"/>
        <v>3</v>
      </c>
      <c r="J11" s="9">
        <f t="shared" si="2"/>
        <v>100393</v>
      </c>
      <c r="L11" s="3">
        <v>10.0</v>
      </c>
      <c r="M11" s="9">
        <f t="shared" si="3"/>
        <v>716678</v>
      </c>
      <c r="N11" s="9">
        <f t="shared" si="4"/>
        <v>646640</v>
      </c>
      <c r="P11" s="10">
        <v>46333.0</v>
      </c>
      <c r="Q11" s="3" t="s">
        <v>47</v>
      </c>
    </row>
    <row r="12">
      <c r="A12" s="4" t="s">
        <v>48</v>
      </c>
      <c r="B12" s="5">
        <v>46371.0</v>
      </c>
      <c r="C12" s="4" t="s">
        <v>37</v>
      </c>
      <c r="D12" s="6" t="s">
        <v>38</v>
      </c>
      <c r="E12" s="7">
        <v>1.0</v>
      </c>
      <c r="F12" s="8">
        <v>112156.0</v>
      </c>
      <c r="G12" s="4" t="s">
        <v>16</v>
      </c>
      <c r="H12" s="4" t="s">
        <v>23</v>
      </c>
      <c r="I12" s="9">
        <f t="shared" si="1"/>
        <v>12</v>
      </c>
      <c r="J12" s="9">
        <f t="shared" si="2"/>
        <v>112156</v>
      </c>
      <c r="L12" s="3">
        <v>11.0</v>
      </c>
      <c r="M12" s="9">
        <f t="shared" si="3"/>
        <v>1794540</v>
      </c>
      <c r="N12" s="9">
        <f t="shared" si="4"/>
        <v>646640</v>
      </c>
    </row>
    <row r="13">
      <c r="A13" s="4" t="s">
        <v>49</v>
      </c>
      <c r="B13" s="5">
        <v>46220.0</v>
      </c>
      <c r="C13" s="4" t="s">
        <v>50</v>
      </c>
      <c r="D13" s="6" t="s">
        <v>51</v>
      </c>
      <c r="E13" s="7">
        <v>3.0</v>
      </c>
      <c r="F13" s="8">
        <v>18727.0</v>
      </c>
      <c r="G13" s="4" t="s">
        <v>16</v>
      </c>
      <c r="H13" s="4" t="s">
        <v>52</v>
      </c>
      <c r="I13" s="9">
        <f t="shared" si="1"/>
        <v>7</v>
      </c>
      <c r="J13" s="9">
        <f t="shared" si="2"/>
        <v>56181</v>
      </c>
      <c r="L13" s="3">
        <v>12.0</v>
      </c>
      <c r="M13" s="9">
        <f t="shared" si="3"/>
        <v>248464</v>
      </c>
      <c r="N13" s="9">
        <f t="shared" si="4"/>
        <v>646640</v>
      </c>
    </row>
    <row r="14">
      <c r="A14" s="4" t="s">
        <v>53</v>
      </c>
      <c r="B14" s="5">
        <v>46066.0</v>
      </c>
      <c r="C14" s="6" t="s">
        <v>37</v>
      </c>
      <c r="D14" s="6" t="s">
        <v>38</v>
      </c>
      <c r="E14" s="7">
        <v>3.0</v>
      </c>
      <c r="F14" s="8">
        <v>294980.0</v>
      </c>
      <c r="G14" s="4" t="s">
        <v>22</v>
      </c>
      <c r="H14" s="4" t="s">
        <v>23</v>
      </c>
      <c r="I14" s="9">
        <f t="shared" si="1"/>
        <v>2</v>
      </c>
      <c r="J14" s="9">
        <f t="shared" si="2"/>
        <v>884940</v>
      </c>
    </row>
    <row r="15">
      <c r="A15" s="4" t="s">
        <v>54</v>
      </c>
      <c r="B15" s="5">
        <v>46088.0</v>
      </c>
      <c r="C15" s="4" t="s">
        <v>30</v>
      </c>
      <c r="D15" s="4" t="s">
        <v>31</v>
      </c>
      <c r="E15" s="13">
        <v>3.0</v>
      </c>
      <c r="F15" s="8">
        <v>138297.0</v>
      </c>
      <c r="G15" s="4" t="s">
        <v>55</v>
      </c>
      <c r="H15" s="4" t="s">
        <v>52</v>
      </c>
      <c r="I15" s="9">
        <f t="shared" si="1"/>
        <v>3</v>
      </c>
      <c r="J15" s="9">
        <f t="shared" si="2"/>
        <v>414891</v>
      </c>
      <c r="L15" s="3" t="s">
        <v>56</v>
      </c>
      <c r="M15" s="9">
        <f>SUM(M2:M13)</f>
        <v>7759680</v>
      </c>
    </row>
    <row r="16">
      <c r="A16" s="4" t="s">
        <v>57</v>
      </c>
      <c r="B16" s="5">
        <v>46247.0</v>
      </c>
      <c r="C16" s="4" t="s">
        <v>58</v>
      </c>
      <c r="D16" s="4" t="s">
        <v>59</v>
      </c>
      <c r="E16" s="7">
        <v>2.0</v>
      </c>
      <c r="F16" s="8">
        <v>61149.0</v>
      </c>
      <c r="G16" s="4" t="s">
        <v>22</v>
      </c>
      <c r="H16" s="4" t="s">
        <v>23</v>
      </c>
      <c r="I16" s="9">
        <f t="shared" si="1"/>
        <v>8</v>
      </c>
      <c r="J16" s="9">
        <f t="shared" si="2"/>
        <v>122298</v>
      </c>
      <c r="L16" s="3"/>
    </row>
    <row r="17">
      <c r="A17" s="4" t="s">
        <v>60</v>
      </c>
      <c r="B17" s="5">
        <v>46315.0</v>
      </c>
      <c r="C17" s="4" t="s">
        <v>30</v>
      </c>
      <c r="D17" s="4" t="s">
        <v>31</v>
      </c>
      <c r="E17" s="7">
        <v>3.0</v>
      </c>
      <c r="F17" s="8">
        <v>14895.0</v>
      </c>
      <c r="G17" s="4" t="s">
        <v>55</v>
      </c>
      <c r="H17" s="4" t="s">
        <v>28</v>
      </c>
      <c r="I17" s="9">
        <f t="shared" si="1"/>
        <v>10</v>
      </c>
      <c r="J17" s="9">
        <f t="shared" si="2"/>
        <v>44685</v>
      </c>
    </row>
    <row r="18">
      <c r="A18" s="4" t="s">
        <v>61</v>
      </c>
      <c r="B18" s="5">
        <v>46147.0</v>
      </c>
      <c r="C18" s="4" t="s">
        <v>30</v>
      </c>
      <c r="D18" s="4" t="s">
        <v>31</v>
      </c>
      <c r="E18" s="7">
        <v>3.0</v>
      </c>
      <c r="F18" s="8">
        <v>93280.0</v>
      </c>
      <c r="G18" s="4" t="s">
        <v>62</v>
      </c>
      <c r="H18" s="6" t="s">
        <v>23</v>
      </c>
      <c r="I18" s="9">
        <f t="shared" si="1"/>
        <v>5</v>
      </c>
      <c r="J18" s="9">
        <f t="shared" si="2"/>
        <v>279840</v>
      </c>
    </row>
    <row r="19">
      <c r="A19" s="4" t="s">
        <v>63</v>
      </c>
      <c r="B19" s="5">
        <v>46360.0</v>
      </c>
      <c r="C19" s="4" t="s">
        <v>46</v>
      </c>
      <c r="D19" s="4" t="s">
        <v>31</v>
      </c>
      <c r="E19" s="7">
        <v>3.0</v>
      </c>
      <c r="F19" s="8">
        <v>45436.0</v>
      </c>
      <c r="G19" s="4" t="s">
        <v>55</v>
      </c>
      <c r="H19" s="4" t="s">
        <v>17</v>
      </c>
      <c r="I19" s="9">
        <f t="shared" si="1"/>
        <v>12</v>
      </c>
      <c r="J19" s="9">
        <f t="shared" si="2"/>
        <v>136308</v>
      </c>
    </row>
    <row r="20">
      <c r="A20" s="4" t="s">
        <v>64</v>
      </c>
      <c r="B20" s="5">
        <v>46204.0</v>
      </c>
      <c r="C20" s="4" t="s">
        <v>50</v>
      </c>
      <c r="D20" s="6" t="s">
        <v>51</v>
      </c>
      <c r="E20" s="7">
        <v>2.0</v>
      </c>
      <c r="F20" s="8">
        <v>47532.0</v>
      </c>
      <c r="G20" s="4" t="s">
        <v>22</v>
      </c>
      <c r="H20" s="4" t="s">
        <v>17</v>
      </c>
      <c r="I20" s="9">
        <f t="shared" si="1"/>
        <v>7</v>
      </c>
      <c r="J20" s="9">
        <f t="shared" si="2"/>
        <v>95064</v>
      </c>
    </row>
    <row r="21" ht="15.75" customHeight="1">
      <c r="A21" s="4" t="s">
        <v>65</v>
      </c>
      <c r="B21" s="5">
        <v>46233.0</v>
      </c>
      <c r="C21" s="6" t="s">
        <v>66</v>
      </c>
      <c r="D21" s="6" t="s">
        <v>38</v>
      </c>
      <c r="E21" s="7">
        <v>1.0</v>
      </c>
      <c r="F21" s="8">
        <v>52407.0</v>
      </c>
      <c r="G21" s="4" t="s">
        <v>62</v>
      </c>
      <c r="H21" s="4" t="s">
        <v>23</v>
      </c>
      <c r="I21" s="9">
        <f t="shared" si="1"/>
        <v>7</v>
      </c>
      <c r="J21" s="9">
        <f t="shared" si="2"/>
        <v>52407</v>
      </c>
    </row>
    <row r="22" ht="15.75" customHeight="1">
      <c r="A22" s="4" t="s">
        <v>67</v>
      </c>
      <c r="B22" s="5">
        <v>46054.0</v>
      </c>
      <c r="C22" s="4" t="s">
        <v>30</v>
      </c>
      <c r="D22" s="4" t="s">
        <v>31</v>
      </c>
      <c r="E22" s="7">
        <v>2.0</v>
      </c>
      <c r="F22" s="8">
        <v>119733.0</v>
      </c>
      <c r="G22" s="4" t="s">
        <v>55</v>
      </c>
      <c r="H22" s="4" t="s">
        <v>28</v>
      </c>
      <c r="I22" s="9">
        <f t="shared" si="1"/>
        <v>2</v>
      </c>
      <c r="J22" s="9">
        <f t="shared" si="2"/>
        <v>239466</v>
      </c>
    </row>
    <row r="23" ht="15.75" customHeight="1">
      <c r="A23" s="4" t="s">
        <v>68</v>
      </c>
      <c r="B23" s="5">
        <v>46120.0</v>
      </c>
      <c r="C23" s="4" t="s">
        <v>50</v>
      </c>
      <c r="D23" s="6" t="s">
        <v>51</v>
      </c>
      <c r="E23" s="13">
        <v>1.0</v>
      </c>
      <c r="F23" s="8">
        <v>100498.0</v>
      </c>
      <c r="G23" s="4" t="s">
        <v>34</v>
      </c>
      <c r="H23" s="4" t="s">
        <v>28</v>
      </c>
      <c r="I23" s="9">
        <f t="shared" si="1"/>
        <v>4</v>
      </c>
      <c r="J23" s="9">
        <f t="shared" si="2"/>
        <v>100498</v>
      </c>
    </row>
    <row r="24" ht="15.75" customHeight="1">
      <c r="A24" s="4" t="s">
        <v>69</v>
      </c>
      <c r="B24" s="5">
        <v>46094.0</v>
      </c>
      <c r="C24" s="4" t="s">
        <v>30</v>
      </c>
      <c r="D24" s="4" t="s">
        <v>31</v>
      </c>
      <c r="E24" s="7">
        <v>1.0</v>
      </c>
      <c r="F24" s="8">
        <v>67267.0</v>
      </c>
      <c r="G24" s="4" t="s">
        <v>62</v>
      </c>
      <c r="H24" s="4" t="s">
        <v>17</v>
      </c>
      <c r="I24" s="9">
        <f t="shared" si="1"/>
        <v>3</v>
      </c>
      <c r="J24" s="9">
        <f t="shared" si="2"/>
        <v>67267</v>
      </c>
    </row>
    <row r="25" ht="15.75" customHeight="1">
      <c r="A25" s="4" t="s">
        <v>70</v>
      </c>
      <c r="B25" s="5">
        <v>46271.0</v>
      </c>
      <c r="C25" s="6" t="s">
        <v>37</v>
      </c>
      <c r="D25" s="6" t="s">
        <v>38</v>
      </c>
      <c r="E25" s="7">
        <v>1.0</v>
      </c>
      <c r="F25" s="8">
        <v>127949.0</v>
      </c>
      <c r="G25" s="4" t="s">
        <v>22</v>
      </c>
      <c r="H25" s="4" t="s">
        <v>23</v>
      </c>
      <c r="I25" s="9">
        <f t="shared" si="1"/>
        <v>9</v>
      </c>
      <c r="J25" s="9">
        <f t="shared" si="2"/>
        <v>127949</v>
      </c>
    </row>
    <row r="26" ht="15.75" customHeight="1">
      <c r="A26" s="4" t="s">
        <v>71</v>
      </c>
      <c r="B26" s="5">
        <v>46132.0</v>
      </c>
      <c r="C26" s="4" t="s">
        <v>50</v>
      </c>
      <c r="D26" s="6" t="s">
        <v>51</v>
      </c>
      <c r="E26" s="7">
        <v>2.0</v>
      </c>
      <c r="F26" s="8">
        <v>55860.0</v>
      </c>
      <c r="G26" s="4" t="s">
        <v>22</v>
      </c>
      <c r="H26" s="4" t="s">
        <v>28</v>
      </c>
      <c r="I26" s="9">
        <f t="shared" si="1"/>
        <v>4</v>
      </c>
      <c r="J26" s="9">
        <f t="shared" si="2"/>
        <v>111720</v>
      </c>
    </row>
    <row r="27" ht="15.75" customHeight="1">
      <c r="A27" s="4" t="s">
        <v>72</v>
      </c>
      <c r="B27" s="5">
        <v>46239.0</v>
      </c>
      <c r="C27" s="4" t="s">
        <v>46</v>
      </c>
      <c r="D27" s="4" t="s">
        <v>31</v>
      </c>
      <c r="E27" s="7">
        <v>2.0</v>
      </c>
      <c r="F27" s="8">
        <v>105105.0</v>
      </c>
      <c r="G27" s="4" t="s">
        <v>34</v>
      </c>
      <c r="H27" s="4" t="s">
        <v>28</v>
      </c>
      <c r="I27" s="9">
        <f t="shared" si="1"/>
        <v>8</v>
      </c>
      <c r="J27" s="9">
        <f t="shared" si="2"/>
        <v>210210</v>
      </c>
    </row>
    <row r="28" ht="15.75" customHeight="1">
      <c r="A28" s="4" t="s">
        <v>73</v>
      </c>
      <c r="B28" s="5">
        <v>46103.0</v>
      </c>
      <c r="C28" s="4" t="s">
        <v>20</v>
      </c>
      <c r="D28" s="6" t="s">
        <v>21</v>
      </c>
      <c r="E28" s="7">
        <v>1.0</v>
      </c>
      <c r="F28" s="8">
        <v>108928.0</v>
      </c>
      <c r="G28" s="4" t="s">
        <v>34</v>
      </c>
      <c r="H28" s="4" t="s">
        <v>28</v>
      </c>
      <c r="I28" s="9">
        <f t="shared" si="1"/>
        <v>3</v>
      </c>
      <c r="J28" s="9">
        <f t="shared" si="2"/>
        <v>108928</v>
      </c>
    </row>
    <row r="29" ht="15.75" customHeight="1">
      <c r="A29" s="4" t="s">
        <v>74</v>
      </c>
      <c r="B29" s="5">
        <v>46105.0</v>
      </c>
      <c r="C29" s="4" t="s">
        <v>30</v>
      </c>
      <c r="D29" s="4" t="s">
        <v>31</v>
      </c>
      <c r="E29" s="7">
        <v>1.0</v>
      </c>
      <c r="F29" s="8">
        <v>127974.0</v>
      </c>
      <c r="G29" s="4" t="s">
        <v>16</v>
      </c>
      <c r="H29" s="4" t="s">
        <v>52</v>
      </c>
      <c r="I29" s="9">
        <f t="shared" si="1"/>
        <v>3</v>
      </c>
      <c r="J29" s="9">
        <f t="shared" si="2"/>
        <v>127974</v>
      </c>
    </row>
    <row r="30" ht="15.75" customHeight="1">
      <c r="A30" s="4" t="s">
        <v>75</v>
      </c>
      <c r="B30" s="5">
        <v>46305.0</v>
      </c>
      <c r="C30" s="4" t="s">
        <v>50</v>
      </c>
      <c r="D30" s="6" t="s">
        <v>51</v>
      </c>
      <c r="E30" s="7">
        <v>2.0</v>
      </c>
      <c r="F30" s="8">
        <v>122598.0</v>
      </c>
      <c r="G30" s="4" t="s">
        <v>34</v>
      </c>
      <c r="H30" s="6" t="s">
        <v>23</v>
      </c>
      <c r="I30" s="9">
        <f t="shared" si="1"/>
        <v>10</v>
      </c>
      <c r="J30" s="9">
        <f t="shared" si="2"/>
        <v>245196</v>
      </c>
    </row>
    <row r="31" ht="15.75" customHeight="1">
      <c r="A31" s="4" t="s">
        <v>76</v>
      </c>
      <c r="B31" s="5">
        <v>46188.0</v>
      </c>
      <c r="C31" s="4" t="s">
        <v>58</v>
      </c>
      <c r="D31" s="4" t="s">
        <v>59</v>
      </c>
      <c r="E31" s="7">
        <v>2.0</v>
      </c>
      <c r="F31" s="8">
        <v>299278.0</v>
      </c>
      <c r="G31" s="4" t="s">
        <v>34</v>
      </c>
      <c r="H31" s="4" t="s">
        <v>52</v>
      </c>
      <c r="I31" s="9">
        <f t="shared" si="1"/>
        <v>6</v>
      </c>
      <c r="J31" s="9">
        <f t="shared" si="2"/>
        <v>598556</v>
      </c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2026-07-31T17:33:05Z</dcterms:created>
</cp:coreProperties>
</file>